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a65e5d3df982321/DATA/Weiterbildung/Finanzbuchführung/"/>
    </mc:Choice>
  </mc:AlternateContent>
  <xr:revisionPtr revIDLastSave="1040" documentId="8_{66EB7063-39FF-4233-9487-3C8731538109}" xr6:coauthVersionLast="47" xr6:coauthVersionMax="47" xr10:uidLastSave="{064BBFF6-B19F-48D8-9A45-91FB129FFC38}"/>
  <bookViews>
    <workbookView xWindow="-120" yWindow="-120" windowWidth="29040" windowHeight="15720" xr2:uid="{AF5A8689-0579-4DBD-971B-4A745CE44ABA}"/>
  </bookViews>
  <sheets>
    <sheet name="Dashboard" sheetId="1" r:id="rId1"/>
    <sheet name="T-Konten-Aktiva" sheetId="2" r:id="rId2"/>
    <sheet name="T-Konten-Passiva" sheetId="3" r:id="rId3"/>
  </sheets>
  <definedNames>
    <definedName name="_xleta.DEC2HE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/>
  <c r="K20" i="1"/>
</calcChain>
</file>

<file path=xl/sharedStrings.xml><?xml version="1.0" encoding="utf-8"?>
<sst xmlns="http://schemas.openxmlformats.org/spreadsheetml/2006/main" count="47" uniqueCount="32">
  <si>
    <t>Aktiva</t>
  </si>
  <si>
    <t>Passiva</t>
  </si>
  <si>
    <t>1. Grundst. und Gebäude</t>
  </si>
  <si>
    <t>2. TA und Maschinen</t>
  </si>
  <si>
    <t>3. Fuhrpark</t>
  </si>
  <si>
    <t>4. Betriebs- und Geschäftsausstattung</t>
  </si>
  <si>
    <t>II. Umlaufvermögen</t>
  </si>
  <si>
    <t>I. Anlagevermögen</t>
  </si>
  <si>
    <t>I. Eigenkapital</t>
  </si>
  <si>
    <t>II. Fremdkapital</t>
  </si>
  <si>
    <t>Nr.</t>
  </si>
  <si>
    <t>Soll</t>
  </si>
  <si>
    <t>Haben</t>
  </si>
  <si>
    <t>Bilanz</t>
  </si>
  <si>
    <t>An T-Konto</t>
  </si>
  <si>
    <t>Von T-Konto</t>
  </si>
  <si>
    <t>Geschäftsfälle</t>
  </si>
  <si>
    <t>Grundst. und Gebäude</t>
  </si>
  <si>
    <t>Betriebs- und Geschäftsausstattung</t>
  </si>
  <si>
    <t>TA und Maschinen</t>
  </si>
  <si>
    <t>Fuhrpark</t>
  </si>
  <si>
    <t>1. Forderungen a. L L</t>
  </si>
  <si>
    <t>2. Bankguthaben</t>
  </si>
  <si>
    <t>3. Kassenbestand</t>
  </si>
  <si>
    <t>1. Darlehn</t>
  </si>
  <si>
    <t>2. Verbindlichkeiten a. L L</t>
  </si>
  <si>
    <t>Forderungen a. L L</t>
  </si>
  <si>
    <t>Summe</t>
  </si>
  <si>
    <t>Bankguthaben</t>
  </si>
  <si>
    <t>Kassenbestand</t>
  </si>
  <si>
    <t>Erstellt von @Inqenza - GitHub</t>
  </si>
  <si>
    <t>ExcelDoubleEntrySystem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</si>
</sst>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2" x14ac:knownFonts="1"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u/>
      <sz val="20"/>
      <color theme="0"/>
      <name val="Bell MT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left"/>
    </xf>
    <xf numFmtId="0" fontId="0" fillId="2" borderId="2" xfId="0" applyFill="1" applyBorder="1"/>
    <xf numFmtId="0" fontId="1" fillId="2" borderId="3" xfId="0" applyFont="1" applyFill="1" applyBorder="1"/>
    <xf numFmtId="0" fontId="0" fillId="2" borderId="3" xfId="0" applyFill="1" applyBorder="1"/>
    <xf numFmtId="0" fontId="2" fillId="2" borderId="1" xfId="0" applyFont="1" applyFill="1" applyBorder="1"/>
    <xf numFmtId="0" fontId="0" fillId="2" borderId="1" xfId="0" applyFill="1" applyBorder="1"/>
    <xf numFmtId="0" fontId="0" fillId="2" borderId="5" xfId="0" applyFill="1" applyBorder="1"/>
    <xf numFmtId="164" fontId="0" fillId="0" borderId="0" xfId="0" applyNumberFormat="1" applyAlignment="1">
      <alignment horizontal="left"/>
    </xf>
    <xf numFmtId="0" fontId="3" fillId="2" borderId="9" xfId="0" applyFont="1" applyFill="1" applyBorder="1"/>
    <xf numFmtId="0" fontId="0" fillId="2" borderId="0" xfId="0" applyFill="1"/>
    <xf numFmtId="164" fontId="0" fillId="2" borderId="0" xfId="0" applyNumberFormat="1" applyFill="1"/>
    <xf numFmtId="0" fontId="2" fillId="2" borderId="0" xfId="0" applyFont="1" applyFill="1"/>
    <xf numFmtId="0" fontId="0" fillId="2" borderId="9" xfId="0" applyFill="1" applyBorder="1"/>
    <xf numFmtId="164" fontId="0" fillId="0" borderId="0" xfId="0" applyNumberFormat="1"/>
    <xf numFmtId="0" fontId="8" fillId="2" borderId="0" xfId="0" applyFont="1" applyFill="1"/>
    <xf numFmtId="164" fontId="2" fillId="2" borderId="0" xfId="0" applyNumberFormat="1" applyFont="1" applyFill="1"/>
    <xf numFmtId="164" fontId="2" fillId="2" borderId="2" xfId="0" applyNumberFormat="1" applyFont="1" applyFill="1" applyBorder="1"/>
    <xf numFmtId="164" fontId="9" fillId="2" borderId="4" xfId="0" applyNumberFormat="1" applyFont="1" applyFill="1" applyBorder="1"/>
    <xf numFmtId="164" fontId="9" fillId="2" borderId="6" xfId="0" applyNumberFormat="1" applyFont="1" applyFill="1" applyBorder="1"/>
    <xf numFmtId="0" fontId="10" fillId="2" borderId="0" xfId="0" applyFont="1" applyFill="1" applyAlignment="1">
      <alignment horizontal="right"/>
    </xf>
    <xf numFmtId="0" fontId="3" fillId="2" borderId="2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0" fontId="10" fillId="0" borderId="0" xfId="0" applyFont="1"/>
    <xf numFmtId="0" fontId="0" fillId="4" borderId="0" xfId="0" applyFill="1"/>
    <xf numFmtId="0" fontId="0" fillId="5" borderId="7" xfId="0" applyFill="1" applyBorder="1"/>
    <xf numFmtId="0" fontId="0" fillId="5" borderId="8" xfId="0" applyFill="1" applyBorder="1"/>
    <xf numFmtId="164" fontId="2" fillId="2" borderId="0" xfId="0" applyNumberFormat="1" applyFont="1" applyFill="1" applyAlignment="1">
      <alignment horizontal="left"/>
    </xf>
    <xf numFmtId="0" fontId="0" fillId="4" borderId="5" xfId="0" applyFill="1" applyBorder="1" applyAlignment="1">
      <alignment horizontal="left"/>
    </xf>
    <xf numFmtId="0" fontId="4" fillId="5" borderId="5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</cellXfs>
  <cellStyles count="1">
    <cellStyle name="Standard" xfId="0" builtinId="0"/>
  </cellStyles>
  <dxfs count="26">
    <dxf>
      <border outline="0">
        <top style="thin">
          <color indexed="64"/>
        </top>
      </border>
    </dxf>
    <dxf>
      <numFmt numFmtId="164" formatCode="#,##0.00\ &quot;€&quot;"/>
    </dxf>
    <dxf>
      <numFmt numFmtId="164" formatCode="#,##0.00\ &quot;€&quot;"/>
    </dxf>
    <dxf>
      <border outline="0">
        <top style="thin">
          <color indexed="64"/>
        </top>
      </border>
    </dxf>
    <dxf>
      <numFmt numFmtId="164" formatCode="#,##0.00\ &quot;€&quot;"/>
    </dxf>
    <dxf>
      <numFmt numFmtId="164" formatCode="#,##0.00\ &quot;€&quot;"/>
    </dxf>
    <dxf>
      <border diagonalUp="0" diagonalDown="0">
        <left/>
        <right/>
        <top style="thin">
          <color indexed="64"/>
        </top>
        <bottom/>
      </border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border diagonalUp="0" diagonalDown="0">
        <left/>
        <right/>
        <top style="thin">
          <color indexed="64"/>
        </top>
        <bottom/>
      </border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0</xdr:rowOff>
        </xdr:from>
        <xdr:to>
          <xdr:col>4</xdr:col>
          <xdr:colOff>9525</xdr:colOff>
          <xdr:row>26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Neue Buchung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1528CC-77A0-4AA3-A237-C27F888F66BF}" name="Geschäftsfälle" displayName="Geschäftsfälle" ref="M5:Q6" totalsRowShown="0" headerRowDxfId="25">
  <autoFilter ref="M5:Q6" xr:uid="{9D1528CC-77A0-4AA3-A237-C27F888F66BF}"/>
  <tableColumns count="5">
    <tableColumn id="1" xr3:uid="{C2865C48-2D76-4AB9-B288-7EB4AB71DE1F}" name="Nr." dataDxfId="24"/>
    <tableColumn id="2" xr3:uid="{B0F09935-C574-4B9F-9231-08992219A9B6}" name="Von T-Konto"/>
    <tableColumn id="3" xr3:uid="{AC1AFE5E-F4D6-43BB-87AF-E1092808E933}" name="Soll" dataDxfId="23"/>
    <tableColumn id="4" xr3:uid="{C99CB16B-4E08-46EA-A414-A1AB5DD99E53}" name="An T-Konto"/>
    <tableColumn id="5" xr3:uid="{F3CC2023-D91C-4215-BC1E-2962602735D8}" name="Haben" dataDxfId="22"/>
  </tableColumns>
  <tableStyleInfo name="TableStyleMedium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690D2-FE28-4698-B71B-FB5686950440}" name="GrundstGeb" displayName="GrundstGeb" ref="B4:C5" totalsRowShown="0" headerRowDxfId="21" dataDxfId="20">
  <autoFilter ref="B4:C5" xr:uid="{218690D2-FE28-4698-B71B-FB5686950440}"/>
  <tableColumns count="2">
    <tableColumn id="1" xr3:uid="{EF9ECBA4-97D3-44CF-B229-97D709663E49}" name="Soll" dataDxfId="19"/>
    <tableColumn id="2" xr3:uid="{E500B790-D845-43DD-881E-8FF82A965061}" name="Haben" dataDxfId="18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3038C3-F4BD-433E-A785-46A619A9E54F}" name="TAMasch" displayName="TAMasch" ref="E4:F5" totalsRowShown="0" headerRowDxfId="17" dataDxfId="16">
  <autoFilter ref="E4:F5" xr:uid="{453038C3-F4BD-433E-A785-46A619A9E54F}"/>
  <tableColumns count="2">
    <tableColumn id="1" xr3:uid="{70459284-D314-468F-83D0-405B1A322FFB}" name="Soll" dataDxfId="15"/>
    <tableColumn id="2" xr3:uid="{BA3AE201-5966-4773-A17B-AA507FAAE21A}" name="Haben" dataDxfId="14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A7E9921-2758-4B96-8F94-C2BDB0EB06A2}" name="Fuhr" displayName="Fuhr" ref="H4:I5" totalsRowShown="0" headerRowDxfId="13" dataDxfId="12" tableBorderDxfId="11">
  <autoFilter ref="H4:I5" xr:uid="{7A7E9921-2758-4B96-8F94-C2BDB0EB06A2}"/>
  <tableColumns count="2">
    <tableColumn id="1" xr3:uid="{127B39D9-B2B5-49ED-9536-FABAD3A0213D}" name="Soll" dataDxfId="10"/>
    <tableColumn id="2" xr3:uid="{91C68505-AD85-403C-82FA-C1248DC7E14B}" name="Haben" dataDxfId="9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E0B1C-6CB2-45F1-99B0-04BA926A03B7}" name="BetriebsGesch" displayName="BetriebsGesch" ref="K4:L5" totalsRowShown="0" headerRowDxfId="8" dataDxfId="7" tableBorderDxfId="6">
  <autoFilter ref="K4:L5" xr:uid="{ED8E0B1C-6CB2-45F1-99B0-04BA926A03B7}"/>
  <tableColumns count="2">
    <tableColumn id="1" xr3:uid="{2AAE88B8-3450-49E2-9CAD-CB6C6F192CD5}" name="Soll" dataDxfId="5"/>
    <tableColumn id="2" xr3:uid="{5951E43F-5192-4059-AE48-B0CAEFE8D1D7}" name="Haben" dataDxfId="4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2107FBB-0B44-415A-AB37-A5D6290A6FC7}" name="Forder" displayName="Forder" ref="N4:O5" totalsRowShown="0" tableBorderDxfId="3">
  <autoFilter ref="N4:O5" xr:uid="{72107FBB-0B44-415A-AB37-A5D6290A6FC7}"/>
  <tableColumns count="2">
    <tableColumn id="1" xr3:uid="{A08B2878-1450-4CA5-8D51-F97BF9B9D165}" name="Soll" dataDxfId="2"/>
    <tableColumn id="2" xr3:uid="{92866A9E-C780-4B27-9132-BC936D277ACE}" name="Haben" dataDxfId="1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5AA37B-4A33-45E5-B1E9-493FB00B51B1}" name="BankGut" displayName="BankGut" ref="Q4:R5" totalsRowShown="0">
  <autoFilter ref="Q4:R5" xr:uid="{405AA37B-4A33-45E5-B1E9-493FB00B51B1}"/>
  <tableColumns count="2">
    <tableColumn id="1" xr3:uid="{A2EB790D-5E8A-48BD-943F-2A99529DD029}" name="Soll"/>
    <tableColumn id="2" xr3:uid="{84D2151D-61F2-4E14-B003-6846FCA79C54}" name="Haben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7EC79E-5D7C-4B98-A1FF-7EA86528B2A2}" name="Kasse" displayName="Kasse" ref="T4:U5" totalsRowShown="0" tableBorderDxfId="0">
  <autoFilter ref="T4:U5" xr:uid="{E07EC79E-5D7C-4B98-A1FF-7EA86528B2A2}"/>
  <tableColumns count="2">
    <tableColumn id="1" xr3:uid="{7BA09110-054D-4D36-B30F-896179DCEDCA}" name="Soll"/>
    <tableColumn id="2" xr3:uid="{52D334CB-59F8-489A-B753-2A68C900AF05}" name="Haben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BDD02-5A40-43DC-B0F5-6018EAD1D575}">
  <sheetPr codeName="Tabelle1"/>
  <dimension ref="A1:R29"/>
  <sheetViews>
    <sheetView tabSelected="1" workbookViewId="0">
      <selection activeCell="N14" sqref="N14"/>
    </sheetView>
  </sheetViews>
  <sheetFormatPr baseColWidth="10" defaultRowHeight="15" x14ac:dyDescent="0.25"/>
  <cols>
    <col min="1" max="1" width="2.7109375" customWidth="1"/>
    <col min="2" max="2" width="2.85546875" customWidth="1"/>
    <col min="3" max="5" width="10.7109375" customWidth="1"/>
    <col min="6" max="6" width="20.5703125" customWidth="1"/>
    <col min="7" max="7" width="2.7109375" customWidth="1"/>
    <col min="8" max="10" width="10.7109375" customWidth="1"/>
    <col min="11" max="11" width="20.7109375" customWidth="1"/>
    <col min="12" max="12" width="2.7109375" customWidth="1"/>
    <col min="13" max="13" width="7.140625" customWidth="1"/>
    <col min="14" max="14" width="35.7109375" customWidth="1"/>
    <col min="15" max="15" width="15.7109375" customWidth="1"/>
    <col min="16" max="16" width="35.7109375" customWidth="1"/>
    <col min="17" max="17" width="15.7109375" customWidth="1"/>
    <col min="18" max="18" width="2.7109375" customWidth="1"/>
  </cols>
  <sheetData>
    <row r="1" spans="1:18" ht="27" x14ac:dyDescent="0.45">
      <c r="A1" s="24"/>
      <c r="B1" s="39" t="s">
        <v>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24"/>
    </row>
    <row r="2" spans="1:18" ht="18.75" x14ac:dyDescent="0.3">
      <c r="A2" s="24"/>
      <c r="B2" s="25"/>
      <c r="C2" s="29" t="s">
        <v>13</v>
      </c>
      <c r="D2" s="29"/>
      <c r="E2" s="29"/>
      <c r="F2" s="29"/>
      <c r="G2" s="29"/>
      <c r="H2" s="29"/>
      <c r="I2" s="29"/>
      <c r="J2" s="29"/>
      <c r="K2" s="29"/>
      <c r="L2" s="24"/>
      <c r="M2" s="25"/>
      <c r="N2" s="29" t="s">
        <v>16</v>
      </c>
      <c r="O2" s="29"/>
      <c r="P2" s="29"/>
      <c r="Q2" s="26"/>
      <c r="R2" s="24"/>
    </row>
    <row r="3" spans="1:18" ht="14.25" customHeight="1" x14ac:dyDescent="0.25">
      <c r="A3" s="24"/>
      <c r="B3" s="9" t="s">
        <v>0</v>
      </c>
      <c r="C3" s="2"/>
      <c r="D3" s="2"/>
      <c r="E3" s="2"/>
      <c r="F3" s="2"/>
      <c r="G3" s="2"/>
      <c r="H3" s="2"/>
      <c r="I3" s="2"/>
      <c r="J3" s="2"/>
      <c r="K3" s="21" t="s">
        <v>1</v>
      </c>
      <c r="L3" s="24"/>
      <c r="M3" s="30"/>
      <c r="N3" s="31"/>
      <c r="O3" s="31"/>
      <c r="P3" s="31"/>
      <c r="Q3" s="32"/>
      <c r="R3" s="24"/>
    </row>
    <row r="4" spans="1:18" ht="8.25" customHeight="1" x14ac:dyDescent="0.25">
      <c r="A4" s="24"/>
      <c r="B4" s="4"/>
      <c r="C4" s="10"/>
      <c r="D4" s="10"/>
      <c r="E4" s="10"/>
      <c r="F4" s="10"/>
      <c r="G4" s="7"/>
      <c r="H4" s="10"/>
      <c r="I4" s="10"/>
      <c r="J4" s="10"/>
      <c r="K4" s="10"/>
      <c r="L4" s="24"/>
      <c r="M4" s="10"/>
      <c r="N4" s="15"/>
      <c r="O4" s="10"/>
      <c r="P4" s="10"/>
      <c r="Q4" s="10"/>
      <c r="R4" s="24"/>
    </row>
    <row r="5" spans="1:18" x14ac:dyDescent="0.25">
      <c r="A5" s="24"/>
      <c r="B5" s="3" t="s">
        <v>7</v>
      </c>
      <c r="C5" s="10"/>
      <c r="D5" s="10"/>
      <c r="E5" s="10"/>
      <c r="F5" s="11"/>
      <c r="G5" s="3" t="s">
        <v>8</v>
      </c>
      <c r="H5" s="10"/>
      <c r="I5" s="10"/>
      <c r="J5" s="10"/>
      <c r="K5" s="27">
        <v>2500000</v>
      </c>
      <c r="L5" s="24"/>
      <c r="M5" s="1" t="s">
        <v>10</v>
      </c>
      <c r="N5" s="1" t="s">
        <v>15</v>
      </c>
      <c r="O5" s="1" t="s">
        <v>11</v>
      </c>
      <c r="P5" s="1" t="s">
        <v>14</v>
      </c>
      <c r="Q5" s="1" t="s">
        <v>12</v>
      </c>
      <c r="R5" s="24"/>
    </row>
    <row r="6" spans="1:18" x14ac:dyDescent="0.25">
      <c r="A6" s="24"/>
      <c r="B6" s="4"/>
      <c r="C6" s="12" t="s">
        <v>2</v>
      </c>
      <c r="D6" s="10"/>
      <c r="E6" s="10"/>
      <c r="F6" s="27">
        <v>1600000</v>
      </c>
      <c r="G6" s="4"/>
      <c r="H6" s="10"/>
      <c r="I6" s="10"/>
      <c r="J6" s="10"/>
      <c r="K6" s="16"/>
      <c r="L6" s="24"/>
      <c r="M6" s="1"/>
      <c r="N6" s="1"/>
      <c r="O6" s="8"/>
      <c r="P6" s="1"/>
      <c r="Q6" s="8"/>
      <c r="R6" s="24"/>
    </row>
    <row r="7" spans="1:18" x14ac:dyDescent="0.25">
      <c r="A7" s="24"/>
      <c r="B7" s="4"/>
      <c r="C7" s="12" t="s">
        <v>3</v>
      </c>
      <c r="D7" s="10"/>
      <c r="E7" s="10"/>
      <c r="F7" s="27">
        <v>350000</v>
      </c>
      <c r="G7" s="3" t="s">
        <v>9</v>
      </c>
      <c r="H7" s="10"/>
      <c r="I7" s="10"/>
      <c r="J7" s="10"/>
      <c r="K7" s="16"/>
      <c r="L7" s="24"/>
      <c r="M7" s="1"/>
      <c r="N7" s="1"/>
      <c r="O7" s="8"/>
      <c r="P7" s="1"/>
      <c r="Q7" s="8"/>
      <c r="R7" s="24"/>
    </row>
    <row r="8" spans="1:18" x14ac:dyDescent="0.25">
      <c r="A8" s="24"/>
      <c r="B8" s="4"/>
      <c r="C8" s="12" t="s">
        <v>4</v>
      </c>
      <c r="D8" s="10"/>
      <c r="E8" s="10"/>
      <c r="F8" s="27">
        <v>250000</v>
      </c>
      <c r="G8" s="4"/>
      <c r="H8" s="12" t="s">
        <v>24</v>
      </c>
      <c r="I8" s="10"/>
      <c r="J8" s="10"/>
      <c r="K8" s="27">
        <v>100000</v>
      </c>
      <c r="L8" s="24"/>
      <c r="M8" s="1"/>
      <c r="N8" s="1"/>
      <c r="O8" s="8"/>
      <c r="P8" s="1"/>
      <c r="Q8" s="8"/>
      <c r="R8" s="24"/>
    </row>
    <row r="9" spans="1:18" x14ac:dyDescent="0.25">
      <c r="A9" s="24"/>
      <c r="B9" s="4"/>
      <c r="C9" s="12" t="s">
        <v>5</v>
      </c>
      <c r="D9" s="10"/>
      <c r="E9" s="10"/>
      <c r="F9" s="27">
        <v>250000</v>
      </c>
      <c r="G9" s="4"/>
      <c r="H9" s="12" t="s">
        <v>25</v>
      </c>
      <c r="I9" s="10"/>
      <c r="J9" s="10"/>
      <c r="K9" s="27">
        <v>30000</v>
      </c>
      <c r="L9" s="24"/>
      <c r="M9" s="1"/>
      <c r="N9" s="1"/>
      <c r="O9" s="8"/>
      <c r="P9" s="1"/>
      <c r="Q9" s="8"/>
      <c r="R9" s="24"/>
    </row>
    <row r="10" spans="1:18" x14ac:dyDescent="0.25">
      <c r="A10" s="24"/>
      <c r="B10" s="4"/>
      <c r="C10" s="10"/>
      <c r="D10" s="10"/>
      <c r="E10" s="10"/>
      <c r="F10" s="16"/>
      <c r="G10" s="4"/>
      <c r="H10" s="12"/>
      <c r="I10" s="10"/>
      <c r="J10" s="10"/>
      <c r="K10" s="16"/>
      <c r="L10" s="24"/>
      <c r="M10" s="1"/>
      <c r="N10" s="1"/>
      <c r="O10" s="8"/>
      <c r="P10" s="1"/>
      <c r="Q10" s="8"/>
      <c r="R10" s="24"/>
    </row>
    <row r="11" spans="1:18" x14ac:dyDescent="0.25">
      <c r="A11" s="24"/>
      <c r="B11" s="3" t="s">
        <v>6</v>
      </c>
      <c r="C11" s="10"/>
      <c r="D11" s="10"/>
      <c r="E11" s="10"/>
      <c r="F11" s="16"/>
      <c r="G11" s="4"/>
      <c r="H11" s="10"/>
      <c r="I11" s="10"/>
      <c r="J11" s="10"/>
      <c r="K11" s="16"/>
      <c r="L11" s="24"/>
      <c r="N11" s="1"/>
      <c r="O11" s="8"/>
      <c r="P11" s="1"/>
      <c r="Q11" s="8"/>
      <c r="R11" s="24"/>
    </row>
    <row r="12" spans="1:18" x14ac:dyDescent="0.25">
      <c r="A12" s="24"/>
      <c r="B12" s="4"/>
      <c r="C12" s="12" t="s">
        <v>21</v>
      </c>
      <c r="D12" s="10"/>
      <c r="E12" s="10"/>
      <c r="F12" s="27">
        <v>80000</v>
      </c>
      <c r="G12" s="4"/>
      <c r="H12" s="10"/>
      <c r="I12" s="10"/>
      <c r="J12" s="10"/>
      <c r="K12" s="16"/>
      <c r="L12" s="24"/>
      <c r="N12" s="1"/>
      <c r="O12" s="8"/>
      <c r="P12" s="1"/>
      <c r="Q12" s="8"/>
      <c r="R12" s="24"/>
    </row>
    <row r="13" spans="1:18" x14ac:dyDescent="0.25">
      <c r="A13" s="24"/>
      <c r="B13" s="4"/>
      <c r="C13" s="12" t="s">
        <v>22</v>
      </c>
      <c r="D13" s="10"/>
      <c r="E13" s="10"/>
      <c r="F13" s="27">
        <v>95000</v>
      </c>
      <c r="G13" s="4"/>
      <c r="H13" s="10"/>
      <c r="I13" s="10"/>
      <c r="J13" s="10"/>
      <c r="K13" s="16"/>
      <c r="L13" s="24"/>
      <c r="N13" s="1"/>
      <c r="O13" s="8"/>
      <c r="P13" s="1"/>
      <c r="Q13" s="8"/>
      <c r="R13" s="24"/>
    </row>
    <row r="14" spans="1:18" x14ac:dyDescent="0.25">
      <c r="A14" s="24"/>
      <c r="B14" s="4"/>
      <c r="C14" s="12" t="s">
        <v>23</v>
      </c>
      <c r="D14" s="10"/>
      <c r="E14" s="10"/>
      <c r="F14" s="27">
        <v>5000</v>
      </c>
      <c r="G14" s="4"/>
      <c r="H14" s="10"/>
      <c r="I14" s="10"/>
      <c r="J14" s="10"/>
      <c r="K14" s="16"/>
      <c r="L14" s="24"/>
      <c r="N14" s="1"/>
      <c r="O14" s="8"/>
      <c r="P14" s="1"/>
      <c r="Q14" s="8"/>
      <c r="R14" s="24"/>
    </row>
    <row r="15" spans="1:18" x14ac:dyDescent="0.25">
      <c r="A15" s="24"/>
      <c r="B15" s="4"/>
      <c r="C15" s="12"/>
      <c r="D15" s="10"/>
      <c r="E15" s="10"/>
      <c r="F15" s="16"/>
      <c r="G15" s="4"/>
      <c r="H15" s="10"/>
      <c r="I15" s="10"/>
      <c r="J15" s="10"/>
      <c r="K15" s="16"/>
      <c r="L15" s="24"/>
      <c r="O15" s="14"/>
      <c r="Q15" s="14"/>
      <c r="R15" s="24"/>
    </row>
    <row r="16" spans="1:18" x14ac:dyDescent="0.25">
      <c r="A16" s="24"/>
      <c r="B16" s="4"/>
      <c r="C16" s="12"/>
      <c r="D16" s="10"/>
      <c r="E16" s="10"/>
      <c r="F16" s="16"/>
      <c r="G16" s="4"/>
      <c r="H16" s="10"/>
      <c r="I16" s="10"/>
      <c r="J16" s="10"/>
      <c r="K16" s="16"/>
      <c r="L16" s="24"/>
      <c r="O16" s="14"/>
      <c r="Q16" s="14"/>
      <c r="R16" s="24"/>
    </row>
    <row r="17" spans="1:18" x14ac:dyDescent="0.25">
      <c r="A17" s="24"/>
      <c r="B17" s="4"/>
      <c r="C17" s="12"/>
      <c r="D17" s="10"/>
      <c r="E17" s="10"/>
      <c r="F17" s="16"/>
      <c r="G17" s="4"/>
      <c r="H17" s="10"/>
      <c r="I17" s="10"/>
      <c r="J17" s="10"/>
      <c r="K17" s="16"/>
      <c r="L17" s="24"/>
      <c r="O17" s="14"/>
      <c r="Q17" s="14"/>
      <c r="R17" s="24"/>
    </row>
    <row r="18" spans="1:18" x14ac:dyDescent="0.25">
      <c r="A18" s="24"/>
      <c r="B18" s="4"/>
      <c r="C18" s="12"/>
      <c r="D18" s="10"/>
      <c r="E18" s="10"/>
      <c r="F18" s="16"/>
      <c r="G18" s="4"/>
      <c r="H18" s="10"/>
      <c r="I18" s="10"/>
      <c r="J18" s="10"/>
      <c r="K18" s="16"/>
      <c r="L18" s="24"/>
      <c r="O18" s="14"/>
      <c r="Q18" s="14"/>
      <c r="R18" s="24"/>
    </row>
    <row r="19" spans="1:18" ht="15.75" thickBot="1" x14ac:dyDescent="0.3">
      <c r="A19" s="24"/>
      <c r="B19" s="4"/>
      <c r="C19" s="5"/>
      <c r="D19" s="10"/>
      <c r="E19" s="10"/>
      <c r="F19" s="17"/>
      <c r="G19" s="10"/>
      <c r="H19" s="6"/>
      <c r="I19" s="10"/>
      <c r="J19" s="10"/>
      <c r="K19" s="16"/>
      <c r="L19" s="24"/>
      <c r="O19" s="14"/>
      <c r="Q19" s="14"/>
      <c r="R19" s="24"/>
    </row>
    <row r="20" spans="1:18" ht="15.75" thickBot="1" x14ac:dyDescent="0.3">
      <c r="A20" s="24"/>
      <c r="B20" s="4"/>
      <c r="C20" s="10"/>
      <c r="D20" s="10"/>
      <c r="E20" s="20" t="s">
        <v>27</v>
      </c>
      <c r="F20" s="19">
        <f>SUM(F6+F7+F8+F9+F12+F13+F14)</f>
        <v>2630000</v>
      </c>
      <c r="G20" s="10"/>
      <c r="H20" s="10"/>
      <c r="I20" s="10"/>
      <c r="J20" s="20" t="s">
        <v>27</v>
      </c>
      <c r="K20" s="18">
        <f>SUM(K5+K8+K9)</f>
        <v>2630000</v>
      </c>
      <c r="L20" s="24"/>
      <c r="O20" s="14"/>
      <c r="Q20" s="14"/>
      <c r="R20" s="24"/>
    </row>
    <row r="21" spans="1:18" ht="15.75" thickTop="1" x14ac:dyDescent="0.25">
      <c r="A21" s="24"/>
      <c r="B21" s="13"/>
      <c r="C21" s="2"/>
      <c r="D21" s="2"/>
      <c r="E21" s="2"/>
      <c r="F21" s="2"/>
      <c r="G21" s="2"/>
      <c r="H21" s="2"/>
      <c r="I21" s="2"/>
      <c r="J21" s="2"/>
      <c r="K21" s="2"/>
      <c r="L21" s="24"/>
      <c r="O21" s="14"/>
      <c r="Q21" s="14"/>
      <c r="R21" s="24"/>
    </row>
    <row r="22" spans="1:18" x14ac:dyDescent="0.25">
      <c r="A22" s="24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4"/>
      <c r="O22" s="14"/>
      <c r="Q22" s="14"/>
      <c r="R22" s="24"/>
    </row>
    <row r="23" spans="1:18" x14ac:dyDescent="0.25">
      <c r="B23" s="23" t="s">
        <v>30</v>
      </c>
      <c r="O23" s="14"/>
      <c r="Q23" s="14"/>
    </row>
    <row r="24" spans="1:18" x14ac:dyDescent="0.25">
      <c r="O24" s="14"/>
      <c r="Q24" s="14"/>
    </row>
    <row r="25" spans="1:18" x14ac:dyDescent="0.25">
      <c r="O25" s="14"/>
      <c r="Q25" s="14"/>
    </row>
    <row r="26" spans="1:18" x14ac:dyDescent="0.25">
      <c r="O26" s="14"/>
      <c r="Q26" s="14"/>
    </row>
    <row r="27" spans="1:18" x14ac:dyDescent="0.25">
      <c r="O27" s="14"/>
      <c r="Q27" s="14"/>
    </row>
    <row r="28" spans="1:18" x14ac:dyDescent="0.25">
      <c r="O28" s="14"/>
      <c r="Q28" s="14"/>
    </row>
    <row r="29" spans="1:18" x14ac:dyDescent="0.25">
      <c r="O29" s="14"/>
      <c r="Q29" s="14"/>
    </row>
  </sheetData>
  <mergeCells count="5">
    <mergeCell ref="B22:K22"/>
    <mergeCell ref="C2:K2"/>
    <mergeCell ref="M3:Q3"/>
    <mergeCell ref="N2:P2"/>
    <mergeCell ref="B1:Q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OpenBuchungsForm">
                <anchor moveWithCells="1">
                  <from>
                    <xdr:col>1</xdr:col>
                    <xdr:colOff>9525</xdr:colOff>
                    <xdr:row>24</xdr:row>
                    <xdr:rowOff>0</xdr:rowOff>
                  </from>
                  <to>
                    <xdr:col>4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C37D3-104C-4A2A-B79C-D7851991FB35}">
  <sheetPr codeName="Tabelle2"/>
  <dimension ref="B3:U7"/>
  <sheetViews>
    <sheetView workbookViewId="0">
      <selection activeCell="B1" sqref="B1"/>
    </sheetView>
  </sheetViews>
  <sheetFormatPr baseColWidth="10" defaultRowHeight="15" x14ac:dyDescent="0.25"/>
  <cols>
    <col min="1" max="1" width="2.7109375" customWidth="1"/>
    <col min="2" max="3" width="25.7109375" customWidth="1"/>
    <col min="4" max="4" width="1.7109375" customWidth="1"/>
    <col min="5" max="6" width="25.7109375" customWidth="1"/>
    <col min="7" max="7" width="1.7109375" customWidth="1"/>
    <col min="8" max="9" width="25.7109375" customWidth="1"/>
    <col min="10" max="10" width="1.7109375" customWidth="1"/>
    <col min="11" max="12" width="25.7109375" customWidth="1"/>
    <col min="13" max="13" width="1.7109375" customWidth="1"/>
    <col min="14" max="15" width="25.7109375" customWidth="1"/>
    <col min="16" max="16" width="1.7109375" customWidth="1"/>
    <col min="17" max="18" width="25.7109375" customWidth="1"/>
    <col min="19" max="19" width="1.7109375" customWidth="1"/>
    <col min="20" max="21" width="25.7109375" customWidth="1"/>
  </cols>
  <sheetData>
    <row r="3" spans="2:21" x14ac:dyDescent="0.25">
      <c r="B3" s="33" t="s">
        <v>17</v>
      </c>
      <c r="C3" s="34"/>
      <c r="E3" s="33" t="s">
        <v>19</v>
      </c>
      <c r="F3" s="34"/>
      <c r="H3" s="37" t="s">
        <v>20</v>
      </c>
      <c r="I3" s="38"/>
      <c r="K3" s="37" t="s">
        <v>18</v>
      </c>
      <c r="L3" s="38"/>
      <c r="N3" s="37" t="s">
        <v>26</v>
      </c>
      <c r="O3" s="38"/>
      <c r="Q3" s="35" t="s">
        <v>28</v>
      </c>
      <c r="R3" s="35"/>
      <c r="T3" s="36" t="s">
        <v>29</v>
      </c>
      <c r="U3" s="36"/>
    </row>
    <row r="4" spans="2:21" x14ac:dyDescent="0.25">
      <c r="B4" s="22" t="s">
        <v>11</v>
      </c>
      <c r="C4" s="22" t="s">
        <v>12</v>
      </c>
      <c r="E4" s="22" t="s">
        <v>11</v>
      </c>
      <c r="F4" s="22" t="s">
        <v>12</v>
      </c>
      <c r="H4" s="22" t="s">
        <v>11</v>
      </c>
      <c r="I4" s="22" t="s">
        <v>12</v>
      </c>
      <c r="K4" s="22" t="s">
        <v>11</v>
      </c>
      <c r="L4" s="22" t="s">
        <v>12</v>
      </c>
      <c r="N4" s="22" t="s">
        <v>11</v>
      </c>
      <c r="O4" s="22" t="s">
        <v>12</v>
      </c>
      <c r="Q4" t="s">
        <v>11</v>
      </c>
      <c r="R4" t="s">
        <v>12</v>
      </c>
      <c r="T4" t="s">
        <v>11</v>
      </c>
      <c r="U4" t="s">
        <v>12</v>
      </c>
    </row>
    <row r="5" spans="2:21" x14ac:dyDescent="0.25">
      <c r="B5" s="14"/>
      <c r="C5" s="14"/>
      <c r="E5" s="22"/>
      <c r="F5" s="22"/>
      <c r="H5" s="22"/>
      <c r="I5" s="22"/>
      <c r="K5" s="14"/>
      <c r="L5" s="14"/>
      <c r="N5" s="14"/>
      <c r="O5" s="14"/>
    </row>
    <row r="6" spans="2:21" x14ac:dyDescent="0.25">
      <c r="E6" s="14"/>
      <c r="F6" s="14"/>
      <c r="H6" s="14"/>
      <c r="I6" s="14"/>
    </row>
    <row r="7" spans="2:21" x14ac:dyDescent="0.25">
      <c r="E7" s="14"/>
      <c r="F7" s="14"/>
      <c r="H7" s="14"/>
      <c r="I7" s="14"/>
    </row>
  </sheetData>
  <mergeCells count="7">
    <mergeCell ref="B3:C3"/>
    <mergeCell ref="E3:F3"/>
    <mergeCell ref="Q3:R3"/>
    <mergeCell ref="T3:U3"/>
    <mergeCell ref="H3:I3"/>
    <mergeCell ref="K3:L3"/>
    <mergeCell ref="N3:O3"/>
  </mergeCells>
  <pageMargins left="0.7" right="0.7" top="0.78740157499999996" bottom="0.78740157499999996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86AB-3C66-4988-81E1-5131739E881C}">
  <sheetPr codeName="Tabelle3"/>
  <dimension ref="A1"/>
  <sheetViews>
    <sheetView workbookViewId="0">
      <selection activeCell="B3" sqref="B3:C3"/>
    </sheetView>
  </sheetViews>
  <sheetFormatPr baseColWidth="10" defaultRowHeight="15" x14ac:dyDescent="0.25"/>
  <cols>
    <col min="1" max="1" width="2.7109375" customWidth="1"/>
    <col min="2" max="3" width="25.7109375" customWidth="1"/>
    <col min="4" max="4" width="1.7109375" customWidth="1"/>
  </cols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Dashboard</vt:lpstr>
      <vt:lpstr>T-Konten-Aktiva</vt:lpstr>
      <vt:lpstr>T-Konten-Passiva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Hörning</dc:creator>
  <cp:lastModifiedBy>Kai Hörning</cp:lastModifiedBy>
  <dcterms:created xsi:type="dcterms:W3CDTF">2025-11-15T08:07:48Z</dcterms:created>
  <dcterms:modified xsi:type="dcterms:W3CDTF">2025-11-18T18:00:35Z</dcterms:modified>
</cp:coreProperties>
</file>